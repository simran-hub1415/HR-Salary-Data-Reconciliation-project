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a\OneDrive\Desktop\"/>
    </mc:Choice>
  </mc:AlternateContent>
  <xr:revisionPtr revIDLastSave="0" documentId="8_{6975E306-27C6-490A-94B2-11DAFB0C018D}" xr6:coauthVersionLast="47" xr6:coauthVersionMax="47" xr10:uidLastSave="{00000000-0000-0000-0000-000000000000}"/>
  <bookViews>
    <workbookView xWindow="-120" yWindow="-120" windowWidth="20730" windowHeight="11040" xr2:uid="{4E8EA717-FBCA-4B29-879E-EBA31560508C}"/>
  </bookViews>
  <sheets>
    <sheet name="Dashboard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C8" i="1"/>
  <c r="C9" i="1"/>
  <c r="C10" i="1"/>
  <c r="C11" i="1"/>
  <c r="B8" i="1"/>
  <c r="D8" i="1" s="1"/>
  <c r="B9" i="1"/>
  <c r="D9" i="1" s="1"/>
  <c r="A4" i="1"/>
  <c r="C4" i="1" s="1"/>
  <c r="A5" i="1"/>
  <c r="C5" i="1" s="1"/>
  <c r="A6" i="1"/>
  <c r="C6" i="1" s="1"/>
  <c r="A7" i="1"/>
  <c r="C7" i="1" s="1"/>
  <c r="A8" i="1"/>
  <c r="A9" i="1"/>
  <c r="A10" i="1"/>
  <c r="B10" i="1" s="1"/>
  <c r="D10" i="1" s="1"/>
  <c r="A11" i="1"/>
  <c r="B11" i="1" s="1"/>
  <c r="D11" i="1" s="1"/>
  <c r="A3" i="1"/>
  <c r="C3" i="1" s="1"/>
  <c r="B7" i="1" l="1"/>
  <c r="D7" i="1" s="1"/>
  <c r="B6" i="1"/>
  <c r="D6" i="1" s="1"/>
  <c r="B3" i="1"/>
  <c r="D3" i="1" s="1"/>
  <c r="B5" i="1"/>
  <c r="D5" i="1" s="1"/>
  <c r="B4" i="1"/>
  <c r="D4" i="1" s="1"/>
  <c r="G5" i="1" l="1"/>
  <c r="G4" i="1"/>
</calcChain>
</file>

<file path=xl/sharedStrings.xml><?xml version="1.0" encoding="utf-8"?>
<sst xmlns="http://schemas.openxmlformats.org/spreadsheetml/2006/main" count="8" uniqueCount="8">
  <si>
    <t>Employee_ID</t>
  </si>
  <si>
    <t>Salary_A</t>
  </si>
  <si>
    <t>Salary_B</t>
  </si>
  <si>
    <t>Status</t>
  </si>
  <si>
    <t>Total Records</t>
  </si>
  <si>
    <t>Total Match</t>
  </si>
  <si>
    <t>Total Mismatch</t>
  </si>
  <si>
    <t>HR Salary Data Reconciliation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</si>
</sst>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</a:t>
            </a:r>
            <a:r>
              <a:rPr lang="en-IN" baseline="0"/>
              <a:t> Reconciliation Dashboard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Dashboard!$F$4:$F$5</c:f>
              <c:strCache>
                <c:ptCount val="2"/>
                <c:pt idx="0">
                  <c:v>Total Match</c:v>
                </c:pt>
                <c:pt idx="1">
                  <c:v>Total Mismatch</c:v>
                </c:pt>
              </c:strCache>
            </c:strRef>
          </c:cat>
          <c:val>
            <c:numRef>
              <c:f>Dashboard!$G$4:$G$5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B-4D6E-9B77-08D22DCCB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</xdr:row>
      <xdr:rowOff>185737</xdr:rowOff>
    </xdr:from>
    <xdr:to>
      <xdr:col>15</xdr:col>
      <xdr:colOff>314325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F80DC-473B-3258-EBC4-FB9A46308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379C5B23BE85BF5/HR_System_A.xlsx" TargetMode="External"/><Relationship Id="rId1" Type="http://schemas.openxmlformats.org/officeDocument/2006/relationships/externalLinkPath" Target="https://d.docs.live.net/B379C5B23BE85BF5/HR_System_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ima\OneDrive\Documents\HR_System_B.xlsx" TargetMode="External"/><Relationship Id="rId1" Type="http://schemas.openxmlformats.org/officeDocument/2006/relationships/externalLinkPath" Target="file:///C:\Users\jaima\OneDrive\Documents\HR_System_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Employee_ID</v>
          </cell>
          <cell r="B1" t="str">
            <v>Name</v>
          </cell>
          <cell r="C1" t="str">
            <v>Department</v>
          </cell>
          <cell r="D1" t="str">
            <v>Salary</v>
          </cell>
          <cell r="E1" t="str">
            <v>Joining_Date</v>
          </cell>
          <cell r="F1" t="str">
            <v>Email</v>
          </cell>
        </row>
        <row r="2">
          <cell r="A2">
            <v>101</v>
          </cell>
          <cell r="B2" t="str">
            <v>Rahul Shram</v>
          </cell>
          <cell r="C2" t="str">
            <v>IT</v>
          </cell>
          <cell r="D2">
            <v>45000</v>
          </cell>
          <cell r="E2" t="str">
            <v xml:space="preserve"> 12-01-2022</v>
          </cell>
          <cell r="F2" t="str">
            <v>rahul@gmail.com</v>
          </cell>
        </row>
        <row r="3">
          <cell r="A3">
            <v>102</v>
          </cell>
          <cell r="B3" t="str">
            <v>Priya Verma</v>
          </cell>
          <cell r="C3" t="str">
            <v>HR</v>
          </cell>
          <cell r="D3">
            <v>40000</v>
          </cell>
          <cell r="E3" t="str">
            <v xml:space="preserve"> 15-03-2023</v>
          </cell>
          <cell r="F3" t="str">
            <v>priya@gmail.com</v>
          </cell>
        </row>
        <row r="4">
          <cell r="A4">
            <v>103</v>
          </cell>
          <cell r="B4" t="str">
            <v>Aman Gupta</v>
          </cell>
          <cell r="C4" t="str">
            <v>Finance</v>
          </cell>
          <cell r="D4">
            <v>50000</v>
          </cell>
          <cell r="E4" t="str">
            <v xml:space="preserve"> 20-07-2021</v>
          </cell>
          <cell r="F4" t="str">
            <v>aman@gmail.com</v>
          </cell>
        </row>
        <row r="5">
          <cell r="A5">
            <v>104</v>
          </cell>
          <cell r="B5" t="str">
            <v>Sneha Reddy</v>
          </cell>
          <cell r="C5" t="str">
            <v>IT</v>
          </cell>
          <cell r="D5">
            <v>47000</v>
          </cell>
          <cell r="E5" t="str">
            <v xml:space="preserve"> 05-09-2022</v>
          </cell>
          <cell r="F5" t="str">
            <v>sneha@gmail.com</v>
          </cell>
        </row>
        <row r="6">
          <cell r="A6">
            <v>105</v>
          </cell>
          <cell r="B6" t="str">
            <v>Karan Mehta</v>
          </cell>
          <cell r="C6" t="str">
            <v>Marketing</v>
          </cell>
          <cell r="D6">
            <v>42000</v>
          </cell>
          <cell r="E6" t="str">
            <v xml:space="preserve"> 11-11-2023</v>
          </cell>
          <cell r="F6" t="str">
            <v>karan@gmail.com</v>
          </cell>
        </row>
        <row r="7">
          <cell r="A7">
            <v>106</v>
          </cell>
          <cell r="B7" t="str">
            <v>Neha Singh</v>
          </cell>
          <cell r="C7" t="str">
            <v>HR</v>
          </cell>
          <cell r="D7">
            <v>39000</v>
          </cell>
          <cell r="E7" t="str">
            <v xml:space="preserve"> 01-02-2022</v>
          </cell>
          <cell r="F7" t="str">
            <v>neha@gmail.com</v>
          </cell>
        </row>
        <row r="8">
          <cell r="A8">
            <v>107</v>
          </cell>
          <cell r="B8" t="str">
            <v>Arjun Patel</v>
          </cell>
          <cell r="C8" t="str">
            <v>Finance</v>
          </cell>
          <cell r="D8">
            <v>52000</v>
          </cell>
          <cell r="E8" t="str">
            <v xml:space="preserve"> 19-06-2021</v>
          </cell>
          <cell r="F8" t="str">
            <v>arjun@gmail.com</v>
          </cell>
        </row>
        <row r="9">
          <cell r="A9">
            <v>108</v>
          </cell>
          <cell r="B9" t="str">
            <v>Riya Das</v>
          </cell>
          <cell r="C9" t="str">
            <v>IT</v>
          </cell>
          <cell r="D9">
            <v>46000</v>
          </cell>
          <cell r="E9" t="str">
            <v xml:space="preserve"> 23-08-2022</v>
          </cell>
          <cell r="F9" t="str">
            <v>riya@gmail.com</v>
          </cell>
        </row>
        <row r="10">
          <cell r="A10">
            <v>109</v>
          </cell>
          <cell r="B10" t="str">
            <v>Mohit Jain</v>
          </cell>
          <cell r="C10" t="str">
            <v>Marketing</v>
          </cell>
          <cell r="D10">
            <v>43000</v>
          </cell>
          <cell r="E10" t="str">
            <v xml:space="preserve"> 10-10-2023</v>
          </cell>
          <cell r="F10" t="str">
            <v>mohit@gmail.com</v>
          </cell>
        </row>
        <row r="11">
          <cell r="A11">
            <v>110</v>
          </cell>
          <cell r="B11" t="str">
            <v>Anjali Rao</v>
          </cell>
          <cell r="C11" t="str">
            <v>HR</v>
          </cell>
          <cell r="D11">
            <v>41000</v>
          </cell>
          <cell r="E11" t="str">
            <v xml:space="preserve"> 17-04-2022</v>
          </cell>
          <cell r="F11" t="str">
            <v>anjali@gmail.com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Employee_ID</v>
          </cell>
          <cell r="B1" t="str">
            <v>Name</v>
          </cell>
          <cell r="C1" t="str">
            <v>Department</v>
          </cell>
          <cell r="D1" t="str">
            <v>Salary</v>
          </cell>
          <cell r="E1" t="str">
            <v>Joining_Date</v>
          </cell>
          <cell r="F1" t="str">
            <v>Email</v>
          </cell>
        </row>
        <row r="2">
          <cell r="A2">
            <v>101</v>
          </cell>
          <cell r="B2" t="str">
            <v>Rahul Shram</v>
          </cell>
          <cell r="C2" t="str">
            <v>IT</v>
          </cell>
          <cell r="D2">
            <v>45000</v>
          </cell>
          <cell r="E2" t="str">
            <v xml:space="preserve"> 12-01-2022</v>
          </cell>
          <cell r="F2" t="str">
            <v>rahul@gmail.com</v>
          </cell>
        </row>
        <row r="3">
          <cell r="A3">
            <v>102</v>
          </cell>
          <cell r="B3" t="str">
            <v>Priya Verma</v>
          </cell>
          <cell r="C3" t="str">
            <v>HR</v>
          </cell>
          <cell r="D3">
            <v>40000</v>
          </cell>
          <cell r="E3" t="str">
            <v xml:space="preserve"> 15-03-2023</v>
          </cell>
          <cell r="F3" t="str">
            <v>priya@gmail.com</v>
          </cell>
        </row>
        <row r="4">
          <cell r="A4">
            <v>103</v>
          </cell>
          <cell r="B4" t="str">
            <v>Aman Gupta</v>
          </cell>
          <cell r="C4" t="str">
            <v>Finance</v>
          </cell>
          <cell r="D4">
            <v>55000</v>
          </cell>
          <cell r="E4" t="str">
            <v xml:space="preserve"> 20-07-2021</v>
          </cell>
          <cell r="F4" t="str">
            <v>aman@gmail.com</v>
          </cell>
        </row>
        <row r="5">
          <cell r="A5">
            <v>104</v>
          </cell>
          <cell r="B5" t="str">
            <v>Sneha Reddy</v>
          </cell>
          <cell r="C5" t="str">
            <v>IT</v>
          </cell>
          <cell r="D5">
            <v>47000</v>
          </cell>
          <cell r="E5" t="str">
            <v xml:space="preserve"> 05-09-2022</v>
          </cell>
          <cell r="F5" t="str">
            <v>sneha@gmail.com</v>
          </cell>
        </row>
        <row r="6">
          <cell r="A6">
            <v>105</v>
          </cell>
          <cell r="B6" t="str">
            <v>Karan Mehta</v>
          </cell>
          <cell r="C6" t="str">
            <v>Marketing</v>
          </cell>
          <cell r="D6">
            <v>42000</v>
          </cell>
          <cell r="E6" t="str">
            <v xml:space="preserve"> 11-11-2023</v>
          </cell>
          <cell r="F6" t="str">
            <v>karan123@gmail.com</v>
          </cell>
        </row>
        <row r="7">
          <cell r="A7">
            <v>106</v>
          </cell>
          <cell r="B7" t="str">
            <v>Neha Singh</v>
          </cell>
          <cell r="C7" t="str">
            <v>HR</v>
          </cell>
          <cell r="D7">
            <v>39000</v>
          </cell>
          <cell r="E7" t="str">
            <v xml:space="preserve"> 01-02-2022</v>
          </cell>
          <cell r="F7" t="str">
            <v>neha@gmail.com</v>
          </cell>
        </row>
        <row r="8">
          <cell r="A8">
            <v>107</v>
          </cell>
          <cell r="B8" t="str">
            <v>Arjun Patel</v>
          </cell>
          <cell r="C8" t="str">
            <v>Finance</v>
          </cell>
          <cell r="D8">
            <v>52000</v>
          </cell>
          <cell r="E8" t="str">
            <v xml:space="preserve"> 19-06-2021</v>
          </cell>
          <cell r="F8" t="str">
            <v>arjun@gmail.com</v>
          </cell>
        </row>
        <row r="9">
          <cell r="A9">
            <v>108</v>
          </cell>
          <cell r="B9" t="str">
            <v>Riya Das</v>
          </cell>
          <cell r="C9" t="str">
            <v>IT</v>
          </cell>
          <cell r="E9" t="str">
            <v xml:space="preserve"> 23-08-2022</v>
          </cell>
          <cell r="F9" t="str">
            <v>riya@gmail.com</v>
          </cell>
        </row>
        <row r="10">
          <cell r="A10">
            <v>109</v>
          </cell>
          <cell r="B10" t="str">
            <v>Mohit Jain</v>
          </cell>
          <cell r="C10" t="str">
            <v>Marketing</v>
          </cell>
          <cell r="D10">
            <v>43000</v>
          </cell>
          <cell r="E10" t="str">
            <v xml:space="preserve"> 10-10-2023</v>
          </cell>
          <cell r="F10" t="str">
            <v>mohit@gmail.com</v>
          </cell>
        </row>
        <row r="11">
          <cell r="A11">
            <v>110</v>
          </cell>
          <cell r="B11" t="str">
            <v>Anjali Rao</v>
          </cell>
          <cell r="C11" t="str">
            <v>HR</v>
          </cell>
          <cell r="D11">
            <v>41000</v>
          </cell>
          <cell r="E11" t="str">
            <v xml:space="preserve"> 17-04-2022</v>
          </cell>
          <cell r="F11" t="str">
            <v>anjali@gmail.com</v>
          </cell>
        </row>
        <row r="12">
          <cell r="A12">
            <v>109</v>
          </cell>
          <cell r="B12" t="str">
            <v>Mohit Jain</v>
          </cell>
          <cell r="C12" t="str">
            <v>Marketing</v>
          </cell>
          <cell r="D12">
            <v>43000</v>
          </cell>
          <cell r="E12" t="str">
            <v xml:space="preserve"> 10-10-2023</v>
          </cell>
          <cell r="F12" t="str">
            <v>mohit@gmail.com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A78D-9077-48C2-9862-900794F20210}">
  <dimension ref="A1:G11"/>
  <sheetViews>
    <sheetView tabSelected="1" workbookViewId="0">
      <selection activeCell="F7" sqref="F7"/>
    </sheetView>
  </sheetViews>
  <sheetFormatPr defaultRowHeight="15" x14ac:dyDescent="0.25"/>
  <cols>
    <col min="1" max="1" width="12.7109375" bestFit="1" customWidth="1"/>
    <col min="2" max="2" width="8.5703125" bestFit="1" customWidth="1"/>
    <col min="3" max="3" width="8.42578125" bestFit="1" customWidth="1"/>
    <col min="4" max="4" width="10.7109375" bestFit="1" customWidth="1"/>
    <col min="5" max="6" width="14.5703125" bestFit="1" customWidth="1"/>
  </cols>
  <sheetData>
    <row r="1" spans="1:7" ht="21" x14ac:dyDescent="0.35">
      <c r="A1" s="1" t="s">
        <v>7</v>
      </c>
      <c r="B1" s="1"/>
      <c r="C1" s="1"/>
      <c r="D1" s="1"/>
    </row>
    <row r="2" spans="1:7" x14ac:dyDescent="0.25">
      <c r="A2" t="s">
        <v>0</v>
      </c>
      <c r="B2" t="s">
        <v>1</v>
      </c>
      <c r="C2" t="s">
        <v>2</v>
      </c>
      <c r="D2" t="s">
        <v>3</v>
      </c>
    </row>
    <row r="3" spans="1:7" x14ac:dyDescent="0.25">
      <c r="A3">
        <f>ROW()+99</f>
        <v>102</v>
      </c>
      <c r="B3">
        <f>VLOOKUP(A3,[1]Sheet1!A:F,4,FALSE)</f>
        <v>40000</v>
      </c>
      <c r="C3">
        <f>VLOOKUP(A3,[2]Sheet1!A:F,4,FALSE)</f>
        <v>40000</v>
      </c>
      <c r="D3" t="str">
        <f>IF(B3=C3,"MATCH","MISMATCH")</f>
        <v>MATCH</v>
      </c>
      <c r="F3" t="s">
        <v>4</v>
      </c>
      <c r="G3">
        <f>ROWS(A3:A12)</f>
        <v>10</v>
      </c>
    </row>
    <row r="4" spans="1:7" x14ac:dyDescent="0.25">
      <c r="A4">
        <f t="shared" ref="A4:A12" si="0">ROW()+99</f>
        <v>103</v>
      </c>
      <c r="B4">
        <f>VLOOKUP(A4,[1]Sheet1!A:F,4,FALSE)</f>
        <v>50000</v>
      </c>
      <c r="C4">
        <f>VLOOKUP(A4,[2]Sheet1!A:F,4,FALSE)</f>
        <v>55000</v>
      </c>
      <c r="D4" t="str">
        <f t="shared" ref="D4:D12" si="1">IF(B4=C4,"MATCH","MISMATCH")</f>
        <v>MISMATCH</v>
      </c>
      <c r="F4" t="s">
        <v>5</v>
      </c>
      <c r="G4">
        <f>COUNTIF(D3:D12,"match")</f>
        <v>7</v>
      </c>
    </row>
    <row r="5" spans="1:7" x14ac:dyDescent="0.25">
      <c r="A5">
        <f t="shared" si="0"/>
        <v>104</v>
      </c>
      <c r="B5">
        <f>VLOOKUP(A5,[1]Sheet1!A:F,4,FALSE)</f>
        <v>47000</v>
      </c>
      <c r="C5">
        <f>VLOOKUP(A5,[2]Sheet1!A:F,4,FALSE)</f>
        <v>47000</v>
      </c>
      <c r="D5" t="str">
        <f t="shared" si="1"/>
        <v>MATCH</v>
      </c>
      <c r="F5" t="s">
        <v>6</v>
      </c>
      <c r="G5">
        <f>COUNTIF(D3:D12,"mismatch")</f>
        <v>2</v>
      </c>
    </row>
    <row r="6" spans="1:7" x14ac:dyDescent="0.25">
      <c r="A6">
        <f t="shared" si="0"/>
        <v>105</v>
      </c>
      <c r="B6">
        <f>VLOOKUP(A6,[1]Sheet1!A:F,4,FALSE)</f>
        <v>42000</v>
      </c>
      <c r="C6">
        <f>VLOOKUP(A6,[2]Sheet1!A:F,4,FALSE)</f>
        <v>42000</v>
      </c>
      <c r="D6" t="str">
        <f t="shared" si="1"/>
        <v>MATCH</v>
      </c>
    </row>
    <row r="7" spans="1:7" x14ac:dyDescent="0.25">
      <c r="A7">
        <f t="shared" si="0"/>
        <v>106</v>
      </c>
      <c r="B7">
        <f>VLOOKUP(A7,[1]Sheet1!A:F,4,FALSE)</f>
        <v>39000</v>
      </c>
      <c r="C7">
        <f>VLOOKUP(A7,[2]Sheet1!A:F,4,FALSE)</f>
        <v>39000</v>
      </c>
      <c r="D7" t="str">
        <f t="shared" si="1"/>
        <v>MATCH</v>
      </c>
    </row>
    <row r="8" spans="1:7" x14ac:dyDescent="0.25">
      <c r="A8">
        <f t="shared" si="0"/>
        <v>107</v>
      </c>
      <c r="B8">
        <f>VLOOKUP(A8,[1]Sheet1!A:F,4,FALSE)</f>
        <v>52000</v>
      </c>
      <c r="C8">
        <f>VLOOKUP(A8,[2]Sheet1!A:F,4,FALSE)</f>
        <v>52000</v>
      </c>
      <c r="D8" t="str">
        <f t="shared" si="1"/>
        <v>MATCH</v>
      </c>
    </row>
    <row r="9" spans="1:7" x14ac:dyDescent="0.25">
      <c r="A9">
        <f t="shared" si="0"/>
        <v>108</v>
      </c>
      <c r="B9">
        <f>VLOOKUP(A9,[1]Sheet1!A:F,4,FALSE)</f>
        <v>46000</v>
      </c>
      <c r="C9">
        <f>VLOOKUP(A9,[2]Sheet1!A:F,4,FALSE)</f>
        <v>0</v>
      </c>
      <c r="D9" t="str">
        <f t="shared" si="1"/>
        <v>MISMATCH</v>
      </c>
    </row>
    <row r="10" spans="1:7" x14ac:dyDescent="0.25">
      <c r="A10">
        <f t="shared" si="0"/>
        <v>109</v>
      </c>
      <c r="B10">
        <f>VLOOKUP(A10,[1]Sheet1!A:F,4,FALSE)</f>
        <v>43000</v>
      </c>
      <c r="C10">
        <f>VLOOKUP(A10,[2]Sheet1!A:F,4,FALSE)</f>
        <v>43000</v>
      </c>
      <c r="D10" t="str">
        <f t="shared" si="1"/>
        <v>MATCH</v>
      </c>
    </row>
    <row r="11" spans="1:7" x14ac:dyDescent="0.25">
      <c r="A11">
        <f t="shared" si="0"/>
        <v>110</v>
      </c>
      <c r="B11">
        <f>VLOOKUP(A11,[1]Sheet1!A:F,4,FALSE)</f>
        <v>41000</v>
      </c>
      <c r="C11">
        <f>VLOOKUP(A11,[2]Sheet1!A:F,4,FALSE)</f>
        <v>41000</v>
      </c>
      <c r="D11" t="str">
        <f t="shared" si="1"/>
        <v>MATCH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228r1a05r0@gmail.com</dc:creator>
  <cp:lastModifiedBy>228r1a05r0@gmail.com</cp:lastModifiedBy>
  <dcterms:created xsi:type="dcterms:W3CDTF">2026-02-17T14:40:44Z</dcterms:created>
  <dcterms:modified xsi:type="dcterms:W3CDTF">2026-02-17T15:22:54Z</dcterms:modified>
</cp:coreProperties>
</file>